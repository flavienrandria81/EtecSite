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6915" windowHeight="4950" activeTab="4"/>
  </bookViews>
  <sheets>
    <sheet name="excel" sheetId="1" r:id="rId1"/>
    <sheet name="Fonction" sheetId="2" r:id="rId2"/>
    <sheet name="Référence" sheetId="3" r:id="rId3"/>
    <sheet name="Exercice01" sheetId="4" r:id="rId4"/>
    <sheet name="Exercice02" sheetId="5" r:id="rId5"/>
  </sheets>
  <calcPr calcId="144525"/>
</workbook>
</file>

<file path=xl/calcChain.xml><?xml version="1.0" encoding="utf-8"?>
<calcChain xmlns="http://schemas.openxmlformats.org/spreadsheetml/2006/main">
  <c r="C5" i="4" l="1"/>
  <c r="C6" i="4"/>
  <c r="B7" i="4"/>
  <c r="B8" i="4"/>
  <c r="F19" i="5" l="1"/>
  <c r="J2" i="5"/>
  <c r="C7" i="4"/>
  <c r="C8" i="4"/>
  <c r="B6" i="4"/>
  <c r="B5" i="4"/>
  <c r="K3" i="5"/>
  <c r="K4" i="5"/>
  <c r="K5" i="5"/>
  <c r="K6" i="5"/>
  <c r="K7" i="5"/>
  <c r="K8" i="5"/>
  <c r="K9" i="5"/>
  <c r="K10" i="5"/>
  <c r="K11" i="5"/>
  <c r="K12" i="5"/>
  <c r="K13" i="5"/>
  <c r="K14" i="5"/>
  <c r="K15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A77" i="1"/>
  <c r="C26" i="5"/>
  <c r="A37" i="2"/>
  <c r="A40" i="2"/>
  <c r="B26" i="5"/>
  <c r="B24" i="5"/>
  <c r="B25" i="5"/>
  <c r="B23" i="5"/>
  <c r="C23" i="5"/>
  <c r="A57" i="2"/>
  <c r="B22" i="5"/>
  <c r="A46" i="2"/>
  <c r="B21" i="5"/>
  <c r="A49" i="2"/>
  <c r="B20" i="5"/>
  <c r="B19" i="5"/>
  <c r="B27" i="2"/>
  <c r="E17" i="2"/>
  <c r="E16" i="2"/>
  <c r="E15" i="2"/>
  <c r="E14" i="2"/>
  <c r="E13" i="2"/>
  <c r="C16" i="5"/>
  <c r="B19" i="2"/>
  <c r="A31" i="2"/>
  <c r="E6" i="3"/>
  <c r="F2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49" i="1"/>
  <c r="A63" i="2"/>
  <c r="A59" i="2"/>
  <c r="A61" i="2"/>
  <c r="A43" i="2"/>
  <c r="B28" i="3"/>
  <c r="I30" i="3"/>
  <c r="C28" i="3"/>
  <c r="D28" i="3"/>
  <c r="E28" i="3"/>
  <c r="F28" i="3"/>
  <c r="G28" i="3"/>
  <c r="H28" i="3"/>
  <c r="I28" i="3"/>
  <c r="J28" i="3"/>
  <c r="K28" i="3"/>
  <c r="C29" i="3"/>
  <c r="D29" i="3"/>
  <c r="E29" i="3"/>
  <c r="F29" i="3"/>
  <c r="G29" i="3"/>
  <c r="H29" i="3"/>
  <c r="I29" i="3"/>
  <c r="J29" i="3"/>
  <c r="K29" i="3"/>
  <c r="C30" i="3"/>
  <c r="D30" i="3"/>
  <c r="E30" i="3"/>
  <c r="F30" i="3"/>
  <c r="G30" i="3"/>
  <c r="H30" i="3"/>
  <c r="J30" i="3"/>
  <c r="K30" i="3"/>
  <c r="C31" i="3"/>
  <c r="D31" i="3"/>
  <c r="E31" i="3"/>
  <c r="F31" i="3"/>
  <c r="G31" i="3"/>
  <c r="H31" i="3"/>
  <c r="I31" i="3"/>
  <c r="J31" i="3"/>
  <c r="K31" i="3"/>
  <c r="C32" i="3"/>
  <c r="D32" i="3"/>
  <c r="E32" i="3"/>
  <c r="F32" i="3"/>
  <c r="G32" i="3"/>
  <c r="H32" i="3"/>
  <c r="I32" i="3"/>
  <c r="J32" i="3"/>
  <c r="K32" i="3"/>
  <c r="C33" i="3"/>
  <c r="D33" i="3"/>
  <c r="E33" i="3"/>
  <c r="F33" i="3"/>
  <c r="G33" i="3"/>
  <c r="H33" i="3"/>
  <c r="I33" i="3"/>
  <c r="J33" i="3"/>
  <c r="K33" i="3"/>
  <c r="C34" i="3"/>
  <c r="D34" i="3"/>
  <c r="E34" i="3"/>
  <c r="F34" i="3"/>
  <c r="G34" i="3"/>
  <c r="H34" i="3"/>
  <c r="I34" i="3"/>
  <c r="J34" i="3"/>
  <c r="K34" i="3"/>
  <c r="C35" i="3"/>
  <c r="D35" i="3"/>
  <c r="E35" i="3"/>
  <c r="F35" i="3"/>
  <c r="G35" i="3"/>
  <c r="H35" i="3"/>
  <c r="I35" i="3"/>
  <c r="J35" i="3"/>
  <c r="K35" i="3"/>
  <c r="C36" i="3"/>
  <c r="D36" i="3"/>
  <c r="E36" i="3"/>
  <c r="F36" i="3"/>
  <c r="G36" i="3"/>
  <c r="H36" i="3"/>
  <c r="I36" i="3"/>
  <c r="J36" i="3"/>
  <c r="K36" i="3"/>
  <c r="C37" i="3"/>
  <c r="D37" i="3"/>
  <c r="E37" i="3"/>
  <c r="F37" i="3"/>
  <c r="G37" i="3"/>
  <c r="H37" i="3"/>
  <c r="I37" i="3"/>
  <c r="J37" i="3"/>
  <c r="K37" i="3"/>
  <c r="B29" i="3"/>
  <c r="B30" i="3"/>
  <c r="B31" i="3"/>
  <c r="B32" i="3"/>
  <c r="B33" i="3"/>
  <c r="B34" i="3"/>
  <c r="B35" i="3"/>
  <c r="B36" i="3"/>
  <c r="B37" i="3"/>
  <c r="B23" i="3"/>
  <c r="B22" i="3"/>
  <c r="B24" i="3"/>
  <c r="C21" i="3"/>
  <c r="D21" i="3"/>
  <c r="E21" i="3"/>
  <c r="B21" i="3"/>
  <c r="F13" i="3"/>
  <c r="E13" i="3"/>
  <c r="D13" i="3"/>
  <c r="C13" i="3"/>
  <c r="B13" i="3"/>
  <c r="E9" i="3"/>
  <c r="E8" i="3"/>
  <c r="E7" i="3"/>
  <c r="B20" i="2" l="1"/>
  <c r="A55" i="2"/>
  <c r="A52" i="2"/>
  <c r="A34" i="2"/>
  <c r="A6" i="2"/>
  <c r="C86" i="1"/>
  <c r="C85" i="1"/>
  <c r="C87" i="1"/>
  <c r="C88" i="1"/>
  <c r="A81" i="1"/>
  <c r="A76" i="1"/>
  <c r="B69" i="1"/>
  <c r="B68" i="1"/>
  <c r="B71" i="1"/>
  <c r="B70" i="1"/>
  <c r="B67" i="1"/>
  <c r="B66" i="1"/>
  <c r="D58" i="1"/>
  <c r="D62" i="1"/>
  <c r="D61" i="1"/>
  <c r="D60" i="1"/>
  <c r="D59" i="1"/>
  <c r="F50" i="1"/>
  <c r="F49" i="1"/>
  <c r="F54" i="1"/>
  <c r="E55" i="1"/>
  <c r="F55" i="1" s="1"/>
  <c r="E54" i="1"/>
  <c r="E53" i="1"/>
  <c r="F53" i="1" s="1"/>
  <c r="E52" i="1"/>
  <c r="F52" i="1" s="1"/>
  <c r="E51" i="1"/>
  <c r="F51" i="1" s="1"/>
  <c r="E50" i="1"/>
  <c r="B46" i="1"/>
  <c r="B45" i="1"/>
  <c r="B44" i="1"/>
  <c r="B43" i="1"/>
  <c r="B42" i="1"/>
  <c r="D3" i="1"/>
  <c r="D8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<sst xmlns="http://schemas.openxmlformats.org/spreadsheetml/2006/main" count="220" uniqueCount="184">
  <si>
    <t>Texte</t>
  </si>
  <si>
    <t>Bonjour</t>
  </si>
  <si>
    <t>Logique</t>
  </si>
  <si>
    <t>Erreur</t>
  </si>
  <si>
    <t>Vide</t>
  </si>
  <si>
    <t>5 type de Valeur</t>
  </si>
  <si>
    <t>Numérique</t>
  </si>
  <si>
    <t>Emplacement</t>
  </si>
  <si>
    <t>A gauche</t>
  </si>
  <si>
    <t>A droite</t>
  </si>
  <si>
    <t>Centré</t>
  </si>
  <si>
    <t>Example</t>
  </si>
  <si>
    <t>Calculabilité</t>
  </si>
  <si>
    <t>centré</t>
  </si>
  <si>
    <t>Type  des erreur</t>
  </si>
  <si>
    <t>Erreur de nom de la function</t>
  </si>
  <si>
    <t>Erreur de la valeur</t>
  </si>
  <si>
    <t>#DIV/0</t>
  </si>
  <si>
    <t>Erreur de division</t>
  </si>
  <si>
    <t>Erreur de refernce de la cellule introuvable</t>
  </si>
  <si>
    <t>Date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</si>
  <si>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</si>
  <si>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</si>
  <si>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</si>
  <si>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</si>
  <si>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</si>
  <si>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</si>
  <si>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</si>
  <si>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</si>
  <si>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</si>
  <si>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</si>
  <si>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</si>
  <si>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</si>
  <si>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Type d'Opérateur</t>
  </si>
  <si>
    <t>Opérande</t>
  </si>
  <si>
    <t>opérateur arithmétique</t>
  </si>
  <si>
    <t>plus "+"</t>
  </si>
  <si>
    <t>Moins "-"</t>
  </si>
  <si>
    <t>Division "/"</t>
  </si>
  <si>
    <t>exposant "^"</t>
  </si>
  <si>
    <t>pourcentage "%"</t>
  </si>
  <si>
    <t>Produit</t>
  </si>
  <si>
    <t>Prix Initial</t>
  </si>
  <si>
    <t>Quantité</t>
  </si>
  <si>
    <t>Prix final</t>
  </si>
  <si>
    <t>Prix avec réduction</t>
  </si>
  <si>
    <t>P01</t>
  </si>
  <si>
    <t>P02</t>
  </si>
  <si>
    <t>P03</t>
  </si>
  <si>
    <t>P04</t>
  </si>
  <si>
    <t>P05</t>
  </si>
  <si>
    <t>P06</t>
  </si>
  <si>
    <t>P07</t>
  </si>
  <si>
    <t>Réduction (%)</t>
  </si>
  <si>
    <t>Ventes(2025)</t>
  </si>
  <si>
    <t>Vente(2026)</t>
  </si>
  <si>
    <t>Evolution(%)</t>
  </si>
  <si>
    <t>Opérateur de comparaison</t>
  </si>
  <si>
    <t>Inférieur &lt;</t>
  </si>
  <si>
    <t>Egale =</t>
  </si>
  <si>
    <t>Different &lt;&gt;</t>
  </si>
  <si>
    <t>Sepérieur &gt;</t>
  </si>
  <si>
    <t>Inferieur Ou égale &lt;=</t>
  </si>
  <si>
    <t>Supérieur ou égale =&gt;</t>
  </si>
  <si>
    <t>EXERCICE</t>
  </si>
  <si>
    <t>aqzqsrdfg</t>
  </si>
  <si>
    <t>Concaténation</t>
  </si>
  <si>
    <t xml:space="preserve"> opérande : &amp;</t>
  </si>
  <si>
    <t>Nom</t>
  </si>
  <si>
    <t>Prénom</t>
  </si>
  <si>
    <t>Nom Prénom</t>
  </si>
  <si>
    <t>RAKOTO</t>
  </si>
  <si>
    <t>Parson</t>
  </si>
  <si>
    <t>RABE</t>
  </si>
  <si>
    <t>RANDRIA</t>
  </si>
  <si>
    <t>RANAIVO</t>
  </si>
  <si>
    <t>Jean</t>
  </si>
  <si>
    <t>Steve</t>
  </si>
  <si>
    <t>Soa</t>
  </si>
  <si>
    <t>Résultat : valeur texte</t>
  </si>
  <si>
    <t>Function Somme</t>
  </si>
  <si>
    <t>Syntaxe Fonction</t>
  </si>
  <si>
    <t>=Nom de la fonction(argumment 1; [arguments 2]; …)</t>
  </si>
  <si>
    <t>Exemple</t>
  </si>
  <si>
    <t>Client</t>
  </si>
  <si>
    <t>PU</t>
  </si>
  <si>
    <t>Qtté</t>
  </si>
  <si>
    <t>CLT2</t>
  </si>
  <si>
    <t>CLT3</t>
  </si>
  <si>
    <t>CLT4</t>
  </si>
  <si>
    <t>CLT5</t>
  </si>
  <si>
    <t>Total Qtté</t>
  </si>
  <si>
    <t>Total Vente</t>
  </si>
  <si>
    <t>Total</t>
  </si>
  <si>
    <t>Moyenne Qtté</t>
  </si>
  <si>
    <t>Moyenne ventes</t>
  </si>
  <si>
    <t>Fonction Moyenne</t>
  </si>
  <si>
    <t>Fonction MiN</t>
  </si>
  <si>
    <t>Suntaxe : =SOMME()</t>
  </si>
  <si>
    <t>syntaxe: =MOYENNE()</t>
  </si>
  <si>
    <t>Syntaxe: =MIN()</t>
  </si>
  <si>
    <t xml:space="preserve">Fonction MAX </t>
  </si>
  <si>
    <t>Syntaxe : =MAX()</t>
  </si>
  <si>
    <t>Fonction PETITE.VLAEUR</t>
  </si>
  <si>
    <t>Syntaxe : =PETITE.VALEUR()</t>
  </si>
  <si>
    <t>Fonction GANDE.VALEUR</t>
  </si>
  <si>
    <t>Syntaxte : =GRANDE.VALEUR()</t>
  </si>
  <si>
    <t>Mijery top le plus petit ex: 3 premiers</t>
  </si>
  <si>
    <t>Fonction NB</t>
  </si>
  <si>
    <t>Fonction NBVAL</t>
  </si>
  <si>
    <t>Fonction NB.VIDE</t>
  </si>
  <si>
    <t>Fonction NOM PROPRE</t>
  </si>
  <si>
    <t>Fonction MAJUSCULE</t>
  </si>
  <si>
    <t>mihaja</t>
  </si>
  <si>
    <t>opérateur de réference</t>
  </si>
  <si>
    <t>Syntaxe: $</t>
  </si>
  <si>
    <t>figer la ligne, colone et cellule</t>
  </si>
  <si>
    <t>Example figer ligne</t>
  </si>
  <si>
    <t>Exemple figer colonne</t>
  </si>
  <si>
    <t>Figer la colonne, $ ce place devant la lettre (ex: $A1)</t>
  </si>
  <si>
    <t>figer la ligne, le $ se place devant le chiffre (ex: A$1)</t>
  </si>
  <si>
    <t>figer la cellule, (ex: $A$1)</t>
  </si>
  <si>
    <t>Exemple figer cellule</t>
  </si>
  <si>
    <t>Exercice</t>
  </si>
  <si>
    <t>référence relative: figer tout et absolue: figerpas tout</t>
  </si>
  <si>
    <t xml:space="preserve">Fonction GAUCHE </t>
  </si>
  <si>
    <t>Fonction DROITE</t>
  </si>
  <si>
    <t>Fonction NBCAR</t>
  </si>
  <si>
    <t>Compter les caractères</t>
  </si>
  <si>
    <t>Fonction CHERCHER</t>
  </si>
  <si>
    <t>Exercice 01</t>
  </si>
  <si>
    <t>En utilisant les fonctions suivantes : Gauche, Droite, NbCar, cherche</t>
  </si>
  <si>
    <t>Nom complet</t>
  </si>
  <si>
    <t>Toky RAZAFY</t>
  </si>
  <si>
    <t>Stéphanie RAKOTO</t>
  </si>
  <si>
    <t>Sergio PARSON</t>
  </si>
  <si>
    <t>Soa RATSIMANDRAVA</t>
  </si>
  <si>
    <t>Vendeur</t>
  </si>
  <si>
    <t xml:space="preserve">catégorie de Produit </t>
  </si>
  <si>
    <t>Prix Unitaire (Ar)</t>
  </si>
  <si>
    <t xml:space="preserve">Région 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</si>
  <si>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</si>
  <si>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</si>
  <si>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</si>
  <si>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</si>
  <si>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</si>
  <si>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</si>
  <si>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</si>
  <si>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</si>
  <si>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</si>
  <si>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</si>
  <si>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</si>
  <si>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</si>
  <si>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</si>
  <si>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</si>
  <si>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Inforamtique</t>
  </si>
  <si>
    <t>Mode</t>
  </si>
  <si>
    <t>Alimentation</t>
  </si>
  <si>
    <t>Antananarivo</t>
  </si>
  <si>
    <t>Toamasina</t>
  </si>
  <si>
    <t>1) caclucler  les montants totaux</t>
  </si>
  <si>
    <t>2) calculer les quantités totals</t>
  </si>
  <si>
    <t>3) Calculer la moyenne générale des ventes effectuer</t>
  </si>
  <si>
    <t xml:space="preserve">4) Calculer les nombres des cellule vide et des cellules contenant des valeurs numériques dans la base de données </t>
  </si>
  <si>
    <t xml:space="preserve">5) Extraire la premier caractère du région en ajoutant " .VENTE" Ex: A.VENTE(dans une nouvelle colonne) </t>
  </si>
  <si>
    <t>6) quelle est la montant maximale dans la vente et la montant minimale, afficher les top 3 des montants maximale</t>
  </si>
  <si>
    <t>7) Mettez "à améliore" si la quantité vendu est en dessous de 5 (dan une nouvelle colone)</t>
  </si>
  <si>
    <t>8)Créer une colonnne de prime et mettez OUI si le vendeur atteint l'objectif de 300 000 ar au cas contraire ou non</t>
  </si>
  <si>
    <t>9) Le vendeur bénéficie d'un commission de 12% si la total de vente atteint 300 000ar ou plus (dans une nouvelle colonne)</t>
  </si>
  <si>
    <t>Montant Total</t>
  </si>
  <si>
    <t>Moyenne générale de vente</t>
  </si>
  <si>
    <t>QUANTITE</t>
  </si>
  <si>
    <t xml:space="preserve">Calcule cellule vide </t>
  </si>
  <si>
    <t>Cellule valeur</t>
  </si>
  <si>
    <t>Première caractère</t>
  </si>
  <si>
    <t>Montant Max</t>
  </si>
  <si>
    <t>Montant Min</t>
  </si>
  <si>
    <t>3 top</t>
  </si>
  <si>
    <t>Mettez Améliorer</t>
  </si>
  <si>
    <t>en dessous de 5</t>
  </si>
  <si>
    <t>Prime</t>
  </si>
  <si>
    <t>commision de12%</t>
  </si>
  <si>
    <t>Commission de 10%</t>
  </si>
  <si>
    <t>Commission de15%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</si>
</sst>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2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3" fontId="0" fillId="0" borderId="1" xfId="0" applyNumberFormat="1" applyBorder="1"/>
    <xf numFmtId="0" fontId="0" fillId="0" borderId="1" xfId="1" applyNumberFormat="1" applyFont="1" applyBorder="1"/>
    <xf numFmtId="0" fontId="0" fillId="0" borderId="1" xfId="0" applyNumberFormat="1" applyBorder="1"/>
    <xf numFmtId="3" fontId="0" fillId="0" borderId="0" xfId="0" applyNumberFormat="1" applyFill="1" applyBorder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55" workbookViewId="0">
      <selection activeCell="A77" sqref="A77"/>
    </sheetView>
  </sheetViews>
  <sheetFormatPr baseColWidth="10" defaultRowHeight="15" x14ac:dyDescent="0.25"/>
  <cols>
    <col min="1" max="1" width="28.42578125" customWidth="1"/>
    <col min="2" max="2" width="15.28515625" bestFit="1" customWidth="1"/>
    <col min="3" max="3" width="23.7109375" customWidth="1"/>
    <col min="4" max="4" width="18.85546875" bestFit="1" customWidth="1"/>
    <col min="6" max="6" width="21.85546875" customWidth="1"/>
  </cols>
  <sheetData>
    <row r="1" spans="1:13" x14ac:dyDescent="0.25">
      <c r="A1" t="s">
        <v>5</v>
      </c>
      <c r="B1" t="s">
        <v>11</v>
      </c>
      <c r="C1" t="s">
        <v>7</v>
      </c>
      <c r="D1" t="s">
        <v>12</v>
      </c>
      <c r="L1" t="s">
        <v>14</v>
      </c>
    </row>
    <row r="2" spans="1:13" x14ac:dyDescent="0.25">
      <c r="A2" t="s">
        <v>0</v>
      </c>
      <c r="B2" t="s">
        <v>1</v>
      </c>
      <c r="C2" t="s">
        <v>8</v>
      </c>
      <c r="D2" t="e">
        <f xml:space="preserve"> B2 + 1</f>
        <v>#VALUE!</v>
      </c>
      <c r="E2" t="e">
        <v>#VALUE!</v>
      </c>
      <c r="L2" t="e">
        <v>#NAME?</v>
      </c>
      <c r="M2" t="s">
        <v>15</v>
      </c>
    </row>
    <row r="3" spans="1:13" x14ac:dyDescent="0.25">
      <c r="A3" t="s">
        <v>6</v>
      </c>
      <c r="B3">
        <v>6</v>
      </c>
      <c r="C3" t="s">
        <v>9</v>
      </c>
      <c r="D3">
        <f xml:space="preserve"> B3 + 1</f>
        <v>7</v>
      </c>
      <c r="E3">
        <v>7</v>
      </c>
      <c r="K3" t="e">
        <v>#VALUE!</v>
      </c>
      <c r="L3" t="s">
        <v>16</v>
      </c>
    </row>
    <row r="4" spans="1:13" x14ac:dyDescent="0.25">
      <c r="A4" t="s">
        <v>2</v>
      </c>
      <c r="B4" t="b">
        <v>1</v>
      </c>
      <c r="C4" t="s">
        <v>10</v>
      </c>
      <c r="D4">
        <f t="shared" ref="D4:D7" si="0" xml:space="preserve"> B4 + 1</f>
        <v>2</v>
      </c>
      <c r="E4">
        <v>2</v>
      </c>
      <c r="K4" t="s">
        <v>17</v>
      </c>
      <c r="L4" t="s">
        <v>18</v>
      </c>
    </row>
    <row r="5" spans="1:13" x14ac:dyDescent="0.25">
      <c r="B5" t="b">
        <v>0</v>
      </c>
      <c r="C5" t="s">
        <v>13</v>
      </c>
      <c r="D5">
        <f t="shared" si="0"/>
        <v>1</v>
      </c>
      <c r="E5">
        <v>1</v>
      </c>
      <c r="K5" t="e">
        <v>#REF!</v>
      </c>
      <c r="L5" t="s">
        <v>19</v>
      </c>
    </row>
    <row r="6" spans="1:13" x14ac:dyDescent="0.25">
      <c r="A6" t="s">
        <v>3</v>
      </c>
      <c r="B6" t="e">
        <v>#NAME?</v>
      </c>
      <c r="C6" t="s">
        <v>10</v>
      </c>
      <c r="D6" t="e">
        <f t="shared" si="0"/>
        <v>#NAME?</v>
      </c>
      <c r="E6" t="e">
        <v>#NAME?</v>
      </c>
    </row>
    <row r="7" spans="1:13" x14ac:dyDescent="0.25">
      <c r="A7" t="s">
        <v>4</v>
      </c>
      <c r="D7">
        <f t="shared" si="0"/>
        <v>1</v>
      </c>
      <c r="E7">
        <v>1</v>
      </c>
    </row>
    <row r="8" spans="1:13" x14ac:dyDescent="0.25">
      <c r="A8" t="s">
        <v>20</v>
      </c>
      <c r="B8" s="3">
        <v>46177</v>
      </c>
      <c r="C8" s="2"/>
      <c r="D8" s="3">
        <f xml:space="preserve"> B8 + 1</f>
        <v>46178</v>
      </c>
      <c r="E8" s="1">
        <v>46178</v>
      </c>
    </row>
    <row r="9" spans="1:13" x14ac:dyDescent="0.25">
      <c r="E9" s="4"/>
    </row>
    <row r="12" spans="1:13" x14ac:dyDescent="0.25">
      <c r="E12" t="s">
        <v>21</v>
      </c>
      <c r="F12">
        <v>2001</v>
      </c>
      <c r="H12" s="3"/>
    </row>
    <row r="13" spans="1:13" x14ac:dyDescent="0.25">
      <c r="E13" t="s">
        <v>22</v>
      </c>
      <c r="F13">
        <v>2002</v>
      </c>
    </row>
    <row r="14" spans="1:13" x14ac:dyDescent="0.25">
      <c r="E14" t="s">
        <v>23</v>
      </c>
      <c r="F14">
        <v>2003</v>
      </c>
    </row>
    <row r="15" spans="1:13" x14ac:dyDescent="0.25">
      <c r="E15" t="s">
        <v>24</v>
      </c>
      <c r="F15">
        <v>2004</v>
      </c>
    </row>
    <row r="16" spans="1:13" x14ac:dyDescent="0.25">
      <c r="E16" t="s">
        <v>25</v>
      </c>
      <c r="F16">
        <v>2005</v>
      </c>
    </row>
    <row r="17" spans="5:6" x14ac:dyDescent="0.25">
      <c r="E17" t="s">
        <v>26</v>
      </c>
      <c r="F17">
        <v>2006</v>
      </c>
    </row>
    <row r="18" spans="5:6" x14ac:dyDescent="0.25">
      <c r="E18" t="s">
        <v>27</v>
      </c>
      <c r="F18">
        <v>2007</v>
      </c>
    </row>
    <row r="19" spans="5:6" x14ac:dyDescent="0.25">
      <c r="E19" t="s">
        <v>28</v>
      </c>
      <c r="F19">
        <v>2008</v>
      </c>
    </row>
    <row r="20" spans="5:6" x14ac:dyDescent="0.25">
      <c r="E20" s="5" t="s">
        <v>29</v>
      </c>
      <c r="F20">
        <v>2009</v>
      </c>
    </row>
    <row r="21" spans="5:6" x14ac:dyDescent="0.25">
      <c r="E21" s="5" t="s">
        <v>30</v>
      </c>
      <c r="F21">
        <v>2010</v>
      </c>
    </row>
    <row r="22" spans="5:6" x14ac:dyDescent="0.25">
      <c r="E22" s="5" t="s">
        <v>31</v>
      </c>
      <c r="F22">
        <v>2011</v>
      </c>
    </row>
    <row r="23" spans="5:6" x14ac:dyDescent="0.25">
      <c r="E23" s="5" t="s">
        <v>32</v>
      </c>
      <c r="F23">
        <v>2012</v>
      </c>
    </row>
    <row r="24" spans="5:6" x14ac:dyDescent="0.25">
      <c r="F24">
        <v>2013</v>
      </c>
    </row>
    <row r="25" spans="5:6" x14ac:dyDescent="0.25">
      <c r="F25">
        <v>2014</v>
      </c>
    </row>
    <row r="26" spans="5:6" x14ac:dyDescent="0.25">
      <c r="F26">
        <v>2015</v>
      </c>
    </row>
    <row r="27" spans="5:6" x14ac:dyDescent="0.25">
      <c r="F27">
        <v>2016</v>
      </c>
    </row>
    <row r="28" spans="5:6" x14ac:dyDescent="0.25">
      <c r="F28">
        <v>2017</v>
      </c>
    </row>
    <row r="29" spans="5:6" x14ac:dyDescent="0.25">
      <c r="F29">
        <v>2018</v>
      </c>
    </row>
    <row r="30" spans="5:6" x14ac:dyDescent="0.25">
      <c r="F30">
        <v>2019</v>
      </c>
    </row>
    <row r="31" spans="5:6" x14ac:dyDescent="0.25">
      <c r="F31">
        <v>2020</v>
      </c>
    </row>
    <row r="32" spans="5:6" x14ac:dyDescent="0.25">
      <c r="F32">
        <v>2021</v>
      </c>
    </row>
    <row r="33" spans="1:6" x14ac:dyDescent="0.25">
      <c r="F33">
        <v>2022</v>
      </c>
    </row>
    <row r="34" spans="1:6" x14ac:dyDescent="0.25">
      <c r="F34">
        <v>2023</v>
      </c>
    </row>
    <row r="35" spans="1:6" x14ac:dyDescent="0.25">
      <c r="F35">
        <v>2024</v>
      </c>
    </row>
    <row r="36" spans="1:6" x14ac:dyDescent="0.25">
      <c r="F36">
        <v>2025</v>
      </c>
    </row>
    <row r="37" spans="1:6" x14ac:dyDescent="0.25">
      <c r="F37">
        <v>2026</v>
      </c>
    </row>
    <row r="38" spans="1:6" x14ac:dyDescent="0.25">
      <c r="F38">
        <v>2027</v>
      </c>
    </row>
    <row r="39" spans="1:6" x14ac:dyDescent="0.25">
      <c r="F39">
        <v>2028</v>
      </c>
    </row>
    <row r="40" spans="1:6" x14ac:dyDescent="0.25">
      <c r="A40" t="s">
        <v>33</v>
      </c>
      <c r="B40" s="6" t="s">
        <v>34</v>
      </c>
      <c r="F40">
        <v>2029</v>
      </c>
    </row>
    <row r="41" spans="1:6" x14ac:dyDescent="0.25">
      <c r="A41" t="s">
        <v>35</v>
      </c>
      <c r="B41" t="s">
        <v>11</v>
      </c>
      <c r="C41">
        <v>7</v>
      </c>
      <c r="D41" s="7">
        <v>3</v>
      </c>
      <c r="F41">
        <v>2030</v>
      </c>
    </row>
    <row r="42" spans="1:6" x14ac:dyDescent="0.25">
      <c r="A42" t="s">
        <v>36</v>
      </c>
      <c r="B42">
        <f>C41+ D41</f>
        <v>10</v>
      </c>
      <c r="F42">
        <v>2031</v>
      </c>
    </row>
    <row r="43" spans="1:6" x14ac:dyDescent="0.25">
      <c r="A43" t="s">
        <v>37</v>
      </c>
      <c r="B43">
        <f>C41-D41</f>
        <v>4</v>
      </c>
    </row>
    <row r="44" spans="1:6" x14ac:dyDescent="0.25">
      <c r="A44" t="s">
        <v>38</v>
      </c>
      <c r="B44">
        <f>C41/D41</f>
        <v>2.3333333333333335</v>
      </c>
    </row>
    <row r="45" spans="1:6" x14ac:dyDescent="0.25">
      <c r="A45" t="s">
        <v>39</v>
      </c>
      <c r="B45">
        <f>C41^D41</f>
        <v>343</v>
      </c>
    </row>
    <row r="46" spans="1:6" x14ac:dyDescent="0.25">
      <c r="A46" t="s">
        <v>40</v>
      </c>
      <c r="B46">
        <f>C41%</f>
        <v>7.0000000000000007E-2</v>
      </c>
    </row>
    <row r="48" spans="1:6" x14ac:dyDescent="0.25">
      <c r="A48" s="8" t="s">
        <v>41</v>
      </c>
      <c r="B48" s="8" t="s">
        <v>42</v>
      </c>
      <c r="C48" s="8" t="s">
        <v>43</v>
      </c>
      <c r="D48" s="8" t="s">
        <v>53</v>
      </c>
      <c r="E48" s="8" t="s">
        <v>44</v>
      </c>
      <c r="F48" s="8" t="s">
        <v>45</v>
      </c>
    </row>
    <row r="49" spans="1:6" x14ac:dyDescent="0.25">
      <c r="A49" s="9" t="s">
        <v>46</v>
      </c>
      <c r="B49" s="10">
        <v>20000</v>
      </c>
      <c r="C49" s="8">
        <v>2</v>
      </c>
      <c r="D49" s="8">
        <v>12</v>
      </c>
      <c r="E49" s="10">
        <f>B49*C49</f>
        <v>40000</v>
      </c>
      <c r="F49" s="10">
        <f>E49-(B49*D49%)*C49</f>
        <v>35200</v>
      </c>
    </row>
    <row r="50" spans="1:6" x14ac:dyDescent="0.25">
      <c r="A50" s="9" t="s">
        <v>47</v>
      </c>
      <c r="B50" s="10">
        <v>15000</v>
      </c>
      <c r="C50" s="8">
        <v>3</v>
      </c>
      <c r="D50" s="8">
        <v>10</v>
      </c>
      <c r="E50" s="10">
        <f>B50*C50</f>
        <v>45000</v>
      </c>
      <c r="F50" s="10">
        <f>E50-(B50*D50%)*C50</f>
        <v>40500</v>
      </c>
    </row>
    <row r="51" spans="1:6" x14ac:dyDescent="0.25">
      <c r="A51" s="9" t="s">
        <v>48</v>
      </c>
      <c r="B51" s="10">
        <v>30000</v>
      </c>
      <c r="C51" s="8">
        <v>1</v>
      </c>
      <c r="D51" s="8">
        <v>15</v>
      </c>
      <c r="E51" s="10">
        <f>B51*C51</f>
        <v>30000</v>
      </c>
      <c r="F51" s="10">
        <f t="shared" ref="F51:F55" si="1">E51-(B51*D51%)*C51</f>
        <v>25500</v>
      </c>
    </row>
    <row r="52" spans="1:6" x14ac:dyDescent="0.25">
      <c r="A52" s="9" t="s">
        <v>49</v>
      </c>
      <c r="B52" s="10">
        <v>12000</v>
      </c>
      <c r="C52" s="8">
        <v>5</v>
      </c>
      <c r="D52" s="8">
        <v>5</v>
      </c>
      <c r="E52" s="10">
        <f>B51*C51</f>
        <v>30000</v>
      </c>
      <c r="F52" s="10">
        <f t="shared" si="1"/>
        <v>27000</v>
      </c>
    </row>
    <row r="53" spans="1:6" x14ac:dyDescent="0.25">
      <c r="A53" s="9" t="s">
        <v>50</v>
      </c>
      <c r="B53" s="10">
        <v>16000</v>
      </c>
      <c r="C53" s="8">
        <v>3</v>
      </c>
      <c r="D53" s="8">
        <v>10</v>
      </c>
      <c r="E53" s="10">
        <f>B53*C53</f>
        <v>48000</v>
      </c>
      <c r="F53" s="10">
        <f t="shared" si="1"/>
        <v>43200</v>
      </c>
    </row>
    <row r="54" spans="1:6" x14ac:dyDescent="0.25">
      <c r="A54" s="9" t="s">
        <v>51</v>
      </c>
      <c r="B54" s="10">
        <v>23000</v>
      </c>
      <c r="C54" s="8">
        <v>1</v>
      </c>
      <c r="D54" s="8">
        <v>13</v>
      </c>
      <c r="E54" s="10">
        <f>B54*C54</f>
        <v>23000</v>
      </c>
      <c r="F54" s="10">
        <f t="shared" si="1"/>
        <v>20010</v>
      </c>
    </row>
    <row r="55" spans="1:6" x14ac:dyDescent="0.25">
      <c r="A55" s="9" t="s">
        <v>52</v>
      </c>
      <c r="B55" s="10">
        <v>21000</v>
      </c>
      <c r="C55" s="8">
        <v>3</v>
      </c>
      <c r="D55" s="8">
        <v>50</v>
      </c>
      <c r="E55" s="10">
        <f>B55*C55</f>
        <v>63000</v>
      </c>
      <c r="F55" s="10">
        <f t="shared" si="1"/>
        <v>31500</v>
      </c>
    </row>
    <row r="57" spans="1:6" x14ac:dyDescent="0.25">
      <c r="A57" s="8" t="s">
        <v>41</v>
      </c>
      <c r="B57" s="8" t="s">
        <v>54</v>
      </c>
      <c r="C57" s="8" t="s">
        <v>55</v>
      </c>
      <c r="D57" s="8" t="s">
        <v>56</v>
      </c>
    </row>
    <row r="58" spans="1:6" x14ac:dyDescent="0.25">
      <c r="A58" s="8" t="s">
        <v>46</v>
      </c>
      <c r="B58" s="10">
        <v>20000</v>
      </c>
      <c r="C58" s="10">
        <v>23000</v>
      </c>
      <c r="D58" s="11">
        <f>(C58-B58)/B58%</f>
        <v>15</v>
      </c>
    </row>
    <row r="59" spans="1:6" x14ac:dyDescent="0.25">
      <c r="A59" s="8" t="s">
        <v>47</v>
      </c>
      <c r="B59" s="10">
        <v>15000</v>
      </c>
      <c r="C59" s="10">
        <v>20000</v>
      </c>
      <c r="D59" s="12">
        <f>(C59-B59)/B59%</f>
        <v>33.333333333333336</v>
      </c>
    </row>
    <row r="60" spans="1:6" x14ac:dyDescent="0.25">
      <c r="A60" s="8" t="s">
        <v>48</v>
      </c>
      <c r="B60" s="10">
        <v>30000</v>
      </c>
      <c r="C60" s="10">
        <v>36000</v>
      </c>
      <c r="D60" s="8">
        <f>(C60-B60)/B60%</f>
        <v>20</v>
      </c>
    </row>
    <row r="61" spans="1:6" x14ac:dyDescent="0.25">
      <c r="A61" s="8" t="s">
        <v>49</v>
      </c>
      <c r="B61" s="10">
        <v>12000</v>
      </c>
      <c r="C61" s="10">
        <v>13000</v>
      </c>
      <c r="D61" s="8">
        <f>(C61-B61)/B61%</f>
        <v>8.3333333333333339</v>
      </c>
    </row>
    <row r="62" spans="1:6" x14ac:dyDescent="0.25">
      <c r="A62" s="8" t="s">
        <v>50</v>
      </c>
      <c r="B62" s="10">
        <v>16000</v>
      </c>
      <c r="C62" s="10">
        <v>17000</v>
      </c>
      <c r="D62" s="10">
        <f>(C62-B62)/B62%</f>
        <v>6.25</v>
      </c>
    </row>
    <row r="65" spans="1:5" x14ac:dyDescent="0.25">
      <c r="A65" t="s">
        <v>57</v>
      </c>
      <c r="B65" t="s">
        <v>11</v>
      </c>
      <c r="C65" s="13">
        <v>3</v>
      </c>
      <c r="D65">
        <v>3</v>
      </c>
      <c r="E65">
        <v>4</v>
      </c>
    </row>
    <row r="66" spans="1:5" x14ac:dyDescent="0.25">
      <c r="A66" t="s">
        <v>59</v>
      </c>
      <c r="B66" t="b">
        <f>3=3</f>
        <v>1</v>
      </c>
    </row>
    <row r="67" spans="1:5" x14ac:dyDescent="0.25">
      <c r="A67" t="s">
        <v>60</v>
      </c>
      <c r="B67" t="b">
        <f>C65&lt;&gt;D65</f>
        <v>0</v>
      </c>
    </row>
    <row r="68" spans="1:5" x14ac:dyDescent="0.25">
      <c r="A68" t="s">
        <v>58</v>
      </c>
      <c r="B68" t="b">
        <f>C65&lt;D65</f>
        <v>0</v>
      </c>
    </row>
    <row r="69" spans="1:5" x14ac:dyDescent="0.25">
      <c r="A69" t="s">
        <v>61</v>
      </c>
      <c r="B69" t="b">
        <f>E65&gt;D65</f>
        <v>1</v>
      </c>
    </row>
    <row r="70" spans="1:5" x14ac:dyDescent="0.25">
      <c r="A70" t="s">
        <v>62</v>
      </c>
      <c r="B70" t="b">
        <f>C65&lt;=D65</f>
        <v>1</v>
      </c>
    </row>
    <row r="71" spans="1:5" x14ac:dyDescent="0.25">
      <c r="A71" t="s">
        <v>63</v>
      </c>
      <c r="B71" t="b">
        <f>C65&gt;=D65</f>
        <v>1</v>
      </c>
    </row>
    <row r="74" spans="1:5" x14ac:dyDescent="0.25">
      <c r="A74" t="s">
        <v>64</v>
      </c>
    </row>
    <row r="75" spans="1:5" x14ac:dyDescent="0.25">
      <c r="A75" t="s">
        <v>65</v>
      </c>
    </row>
    <row r="76" spans="1:5" x14ac:dyDescent="0.25">
      <c r="A76" t="b">
        <f>A75&gt;D65</f>
        <v>1</v>
      </c>
    </row>
    <row r="77" spans="1:5" x14ac:dyDescent="0.25">
      <c r="A77" t="b">
        <f>A75=B75</f>
        <v>0</v>
      </c>
    </row>
    <row r="80" spans="1:5" x14ac:dyDescent="0.25">
      <c r="A80" t="s">
        <v>66</v>
      </c>
      <c r="B80" t="s">
        <v>67</v>
      </c>
      <c r="C80" t="s">
        <v>79</v>
      </c>
    </row>
    <row r="81" spans="1:3" x14ac:dyDescent="0.25">
      <c r="A81" t="str">
        <f>"Bon"&amp;"jour"</f>
        <v>Bonjour</v>
      </c>
    </row>
    <row r="84" spans="1:3" x14ac:dyDescent="0.25">
      <c r="A84" s="8" t="s">
        <v>68</v>
      </c>
      <c r="B84" s="8" t="s">
        <v>69</v>
      </c>
      <c r="C84" s="8" t="s">
        <v>70</v>
      </c>
    </row>
    <row r="85" spans="1:3" x14ac:dyDescent="0.25">
      <c r="A85" s="8" t="s">
        <v>71</v>
      </c>
      <c r="B85" s="8" t="s">
        <v>72</v>
      </c>
      <c r="C85" s="8" t="str">
        <f>A85 &amp;" "&amp;B85</f>
        <v>RAKOTO Parson</v>
      </c>
    </row>
    <row r="86" spans="1:3" x14ac:dyDescent="0.25">
      <c r="A86" s="8" t="s">
        <v>73</v>
      </c>
      <c r="B86" s="8" t="s">
        <v>76</v>
      </c>
      <c r="C86" s="8" t="str">
        <f t="shared" ref="C86:C88" si="2">A86 &amp;" "&amp;B86</f>
        <v>RABE Jean</v>
      </c>
    </row>
    <row r="87" spans="1:3" x14ac:dyDescent="0.25">
      <c r="A87" s="8" t="s">
        <v>74</v>
      </c>
      <c r="B87" s="8" t="s">
        <v>77</v>
      </c>
      <c r="C87" s="8" t="str">
        <f t="shared" si="2"/>
        <v>RANDRIA Steve</v>
      </c>
    </row>
    <row r="88" spans="1:3" x14ac:dyDescent="0.25">
      <c r="A88" s="8" t="s">
        <v>75</v>
      </c>
      <c r="B88" s="8" t="s">
        <v>78</v>
      </c>
      <c r="C88" s="8" t="str">
        <f t="shared" si="2"/>
        <v>RANAIVO Soa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48" workbookViewId="0">
      <selection activeCell="A65" sqref="A65"/>
    </sheetView>
  </sheetViews>
  <sheetFormatPr baseColWidth="10" defaultRowHeight="15" x14ac:dyDescent="0.25"/>
  <cols>
    <col min="1" max="1" width="27.28515625" customWidth="1"/>
  </cols>
  <sheetData>
    <row r="1" spans="1:5" x14ac:dyDescent="0.25">
      <c r="A1" s="15" t="s">
        <v>80</v>
      </c>
      <c r="B1" t="s">
        <v>98</v>
      </c>
    </row>
    <row r="2" spans="1:5" x14ac:dyDescent="0.25">
      <c r="A2">
        <v>1</v>
      </c>
    </row>
    <row r="3" spans="1:5" x14ac:dyDescent="0.25">
      <c r="A3">
        <v>2</v>
      </c>
    </row>
    <row r="4" spans="1:5" x14ac:dyDescent="0.25">
      <c r="A4">
        <v>34</v>
      </c>
    </row>
    <row r="5" spans="1:5" x14ac:dyDescent="0.25">
      <c r="A5">
        <v>5</v>
      </c>
    </row>
    <row r="6" spans="1:5" x14ac:dyDescent="0.25">
      <c r="A6">
        <f>SUM(A2:A5)</f>
        <v>42</v>
      </c>
    </row>
    <row r="8" spans="1:5" x14ac:dyDescent="0.25">
      <c r="A8" t="s">
        <v>81</v>
      </c>
    </row>
    <row r="9" spans="1:5" x14ac:dyDescent="0.25">
      <c r="A9" s="16" t="s">
        <v>82</v>
      </c>
    </row>
    <row r="11" spans="1:5" x14ac:dyDescent="0.25">
      <c r="A11" t="s">
        <v>83</v>
      </c>
    </row>
    <row r="12" spans="1:5" x14ac:dyDescent="0.25">
      <c r="A12" s="8" t="s">
        <v>84</v>
      </c>
      <c r="B12" s="8" t="s">
        <v>41</v>
      </c>
      <c r="C12" s="8" t="s">
        <v>85</v>
      </c>
      <c r="D12" s="8" t="s">
        <v>86</v>
      </c>
      <c r="E12" s="9" t="s">
        <v>93</v>
      </c>
    </row>
    <row r="13" spans="1:5" x14ac:dyDescent="0.25">
      <c r="A13" s="8"/>
      <c r="B13" s="8" t="s">
        <v>46</v>
      </c>
      <c r="C13" s="8">
        <v>100</v>
      </c>
      <c r="D13" s="8"/>
      <c r="E13" s="8">
        <f>C13*D13</f>
        <v>0</v>
      </c>
    </row>
    <row r="14" spans="1:5" x14ac:dyDescent="0.25">
      <c r="A14" s="8" t="s">
        <v>87</v>
      </c>
      <c r="B14" s="8"/>
      <c r="C14" s="8">
        <v>20</v>
      </c>
      <c r="D14" s="8">
        <v>1</v>
      </c>
      <c r="E14" s="8">
        <f>C14*D14</f>
        <v>20</v>
      </c>
    </row>
    <row r="15" spans="1:5" x14ac:dyDescent="0.25">
      <c r="A15" s="8" t="s">
        <v>88</v>
      </c>
      <c r="B15" s="8"/>
      <c r="C15" s="8">
        <v>60</v>
      </c>
      <c r="D15" s="8">
        <v>2</v>
      </c>
      <c r="E15" s="8">
        <f>C15*D15</f>
        <v>120</v>
      </c>
    </row>
    <row r="16" spans="1:5" x14ac:dyDescent="0.25">
      <c r="A16" s="8" t="s">
        <v>89</v>
      </c>
      <c r="B16" s="8" t="s">
        <v>49</v>
      </c>
      <c r="C16" s="8"/>
      <c r="D16" s="8">
        <v>4</v>
      </c>
      <c r="E16" s="8">
        <f>C16*D16</f>
        <v>0</v>
      </c>
    </row>
    <row r="17" spans="1:5" x14ac:dyDescent="0.25">
      <c r="A17" s="8" t="s">
        <v>90</v>
      </c>
      <c r="B17" s="8"/>
      <c r="C17" s="8">
        <v>150</v>
      </c>
      <c r="D17" s="8">
        <v>5</v>
      </c>
      <c r="E17" s="8">
        <f>C17*D17</f>
        <v>750</v>
      </c>
    </row>
    <row r="19" spans="1:5" x14ac:dyDescent="0.25">
      <c r="A19" t="s">
        <v>91</v>
      </c>
      <c r="B19" s="14">
        <f>SUM(D14:D17)</f>
        <v>12</v>
      </c>
    </row>
    <row r="20" spans="1:5" x14ac:dyDescent="0.25">
      <c r="A20" t="s">
        <v>92</v>
      </c>
      <c r="B20" s="14">
        <f>SUM(E13:E17)</f>
        <v>890</v>
      </c>
    </row>
    <row r="25" spans="1:5" x14ac:dyDescent="0.25">
      <c r="A25" s="15" t="s">
        <v>96</v>
      </c>
      <c r="B25" t="s">
        <v>99</v>
      </c>
    </row>
    <row r="26" spans="1:5" x14ac:dyDescent="0.25">
      <c r="A26" t="s">
        <v>94</v>
      </c>
    </row>
    <row r="27" spans="1:5" x14ac:dyDescent="0.25">
      <c r="A27" t="s">
        <v>95</v>
      </c>
      <c r="B27">
        <f>AVERAGE(E13:E17)</f>
        <v>178</v>
      </c>
    </row>
    <row r="30" spans="1:5" x14ac:dyDescent="0.25">
      <c r="A30" s="15" t="s">
        <v>97</v>
      </c>
      <c r="B30" t="s">
        <v>100</v>
      </c>
    </row>
    <row r="31" spans="1:5" x14ac:dyDescent="0.25">
      <c r="A31">
        <f>MIN(D14:D17)</f>
        <v>1</v>
      </c>
    </row>
    <row r="33" spans="1:6" x14ac:dyDescent="0.25">
      <c r="A33" s="15" t="s">
        <v>101</v>
      </c>
      <c r="B33" t="s">
        <v>102</v>
      </c>
    </row>
    <row r="34" spans="1:6" x14ac:dyDescent="0.25">
      <c r="A34">
        <f>MAX(E14:E17)</f>
        <v>750</v>
      </c>
    </row>
    <row r="36" spans="1:6" x14ac:dyDescent="0.25">
      <c r="A36" s="15" t="s">
        <v>103</v>
      </c>
      <c r="B36" t="s">
        <v>104</v>
      </c>
      <c r="D36" t="s">
        <v>107</v>
      </c>
    </row>
    <row r="37" spans="1:6" x14ac:dyDescent="0.25">
      <c r="A37">
        <f>SMALL(D14:D17,3)</f>
        <v>4</v>
      </c>
    </row>
    <row r="39" spans="1:6" x14ac:dyDescent="0.25">
      <c r="A39" s="15" t="s">
        <v>105</v>
      </c>
      <c r="B39" t="s">
        <v>106</v>
      </c>
    </row>
    <row r="40" spans="1:6" x14ac:dyDescent="0.25">
      <c r="A40">
        <f>LARGE(E13:E17,2)</f>
        <v>120</v>
      </c>
    </row>
    <row r="42" spans="1:6" x14ac:dyDescent="0.25">
      <c r="A42" s="15" t="s">
        <v>108</v>
      </c>
    </row>
    <row r="43" spans="1:6" x14ac:dyDescent="0.25">
      <c r="A43">
        <f>COUNT(A13:E17)</f>
        <v>13</v>
      </c>
      <c r="F43" t="s">
        <v>113</v>
      </c>
    </row>
    <row r="45" spans="1:6" x14ac:dyDescent="0.25">
      <c r="A45" s="15" t="s">
        <v>109</v>
      </c>
    </row>
    <row r="46" spans="1:6" x14ac:dyDescent="0.25">
      <c r="A46">
        <f>COUNTA(A13:E17)</f>
        <v>19</v>
      </c>
    </row>
    <row r="48" spans="1:6" x14ac:dyDescent="0.25">
      <c r="A48" s="15" t="s">
        <v>110</v>
      </c>
    </row>
    <row r="49" spans="1:2" x14ac:dyDescent="0.25">
      <c r="A49">
        <f>COUNTBLANK(A13:E17)</f>
        <v>6</v>
      </c>
    </row>
    <row r="51" spans="1:2" x14ac:dyDescent="0.25">
      <c r="A51" s="15" t="s">
        <v>111</v>
      </c>
    </row>
    <row r="52" spans="1:2" x14ac:dyDescent="0.25">
      <c r="A52" t="str">
        <f>PROPER(F43)</f>
        <v>Mihaja</v>
      </c>
    </row>
    <row r="54" spans="1:2" x14ac:dyDescent="0.25">
      <c r="A54" s="15" t="s">
        <v>112</v>
      </c>
    </row>
    <row r="55" spans="1:2" x14ac:dyDescent="0.25">
      <c r="A55" t="str">
        <f>UPPER(F43)</f>
        <v>MIHAJA</v>
      </c>
    </row>
    <row r="56" spans="1:2" x14ac:dyDescent="0.25">
      <c r="A56" s="15" t="s">
        <v>125</v>
      </c>
    </row>
    <row r="57" spans="1:2" x14ac:dyDescent="0.25">
      <c r="A57" t="str">
        <f>LEFT(F43,3)</f>
        <v>mih</v>
      </c>
    </row>
    <row r="58" spans="1:2" x14ac:dyDescent="0.25">
      <c r="A58" s="15" t="s">
        <v>126</v>
      </c>
    </row>
    <row r="59" spans="1:2" x14ac:dyDescent="0.25">
      <c r="A59" t="str">
        <f>RIGHT(F43,3)</f>
        <v>aja</v>
      </c>
    </row>
    <row r="60" spans="1:2" x14ac:dyDescent="0.25">
      <c r="A60" s="15" t="s">
        <v>127</v>
      </c>
      <c r="B60" t="s">
        <v>128</v>
      </c>
    </row>
    <row r="61" spans="1:2" x14ac:dyDescent="0.25">
      <c r="A61">
        <f>LEN(F43)</f>
        <v>6</v>
      </c>
    </row>
    <row r="62" spans="1:2" x14ac:dyDescent="0.25">
      <c r="A62" s="15" t="s">
        <v>129</v>
      </c>
    </row>
    <row r="63" spans="1:2" x14ac:dyDescent="0.25">
      <c r="A63">
        <f>SEARCH("a",F43,2)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opLeftCell="A13" workbookViewId="0">
      <selection activeCell="E7" sqref="E7"/>
    </sheetView>
  </sheetViews>
  <sheetFormatPr baseColWidth="10" defaultRowHeight="15" x14ac:dyDescent="0.25"/>
  <cols>
    <col min="1" max="1" width="28.5703125" customWidth="1"/>
  </cols>
  <sheetData>
    <row r="1" spans="1:6" x14ac:dyDescent="0.25">
      <c r="A1" s="14" t="s">
        <v>114</v>
      </c>
      <c r="B1" t="s">
        <v>115</v>
      </c>
    </row>
    <row r="2" spans="1:6" x14ac:dyDescent="0.25">
      <c r="A2" t="s">
        <v>116</v>
      </c>
    </row>
    <row r="4" spans="1:6" x14ac:dyDescent="0.25">
      <c r="A4" t="s">
        <v>117</v>
      </c>
    </row>
    <row r="5" spans="1:6" x14ac:dyDescent="0.25">
      <c r="B5">
        <v>1</v>
      </c>
      <c r="C5">
        <v>2</v>
      </c>
    </row>
    <row r="6" spans="1:6" x14ac:dyDescent="0.25">
      <c r="E6">
        <f>B$5+C5</f>
        <v>3</v>
      </c>
    </row>
    <row r="7" spans="1:6" x14ac:dyDescent="0.25">
      <c r="E7">
        <f>B$5+C6</f>
        <v>1</v>
      </c>
    </row>
    <row r="8" spans="1:6" x14ac:dyDescent="0.25">
      <c r="E8">
        <f>B$5+C7</f>
        <v>1</v>
      </c>
    </row>
    <row r="9" spans="1:6" x14ac:dyDescent="0.25">
      <c r="E9">
        <f>B$5+C8</f>
        <v>1</v>
      </c>
    </row>
    <row r="10" spans="1:6" x14ac:dyDescent="0.25">
      <c r="A10" t="s">
        <v>118</v>
      </c>
    </row>
    <row r="12" spans="1:6" x14ac:dyDescent="0.25">
      <c r="B12">
        <v>1</v>
      </c>
      <c r="C12">
        <v>2</v>
      </c>
    </row>
    <row r="13" spans="1:6" x14ac:dyDescent="0.25">
      <c r="B13" s="14">
        <f>$B12+C12</f>
        <v>3</v>
      </c>
      <c r="C13" s="14">
        <f>$B12+D12</f>
        <v>1</v>
      </c>
      <c r="D13" s="14">
        <f>$B12+E12</f>
        <v>1</v>
      </c>
      <c r="E13" s="14">
        <f>$B12+F12</f>
        <v>1</v>
      </c>
      <c r="F13" s="14">
        <f>$B12+G12</f>
        <v>1</v>
      </c>
    </row>
    <row r="15" spans="1:6" x14ac:dyDescent="0.25">
      <c r="A15" t="s">
        <v>119</v>
      </c>
    </row>
    <row r="16" spans="1:6" x14ac:dyDescent="0.25">
      <c r="A16" t="s">
        <v>120</v>
      </c>
    </row>
    <row r="17" spans="1:11" x14ac:dyDescent="0.25">
      <c r="A17" t="s">
        <v>121</v>
      </c>
    </row>
    <row r="18" spans="1:11" x14ac:dyDescent="0.25">
      <c r="A18" t="s">
        <v>122</v>
      </c>
    </row>
    <row r="19" spans="1:11" x14ac:dyDescent="0.25">
      <c r="B19">
        <v>3</v>
      </c>
      <c r="C19">
        <v>1</v>
      </c>
    </row>
    <row r="21" spans="1:11" x14ac:dyDescent="0.25">
      <c r="B21">
        <f>$B$19+C19</f>
        <v>4</v>
      </c>
      <c r="C21">
        <f t="shared" ref="C21:E21" si="0">$B$19+D19</f>
        <v>3</v>
      </c>
      <c r="D21">
        <f t="shared" si="0"/>
        <v>3</v>
      </c>
      <c r="E21">
        <f t="shared" si="0"/>
        <v>3</v>
      </c>
    </row>
    <row r="22" spans="1:11" x14ac:dyDescent="0.25">
      <c r="B22">
        <f t="shared" ref="B22:B24" si="1">$B$19+C20</f>
        <v>3</v>
      </c>
    </row>
    <row r="23" spans="1:11" x14ac:dyDescent="0.25">
      <c r="B23">
        <f t="shared" si="1"/>
        <v>6</v>
      </c>
    </row>
    <row r="24" spans="1:11" x14ac:dyDescent="0.25">
      <c r="B24">
        <f t="shared" si="1"/>
        <v>3</v>
      </c>
    </row>
    <row r="26" spans="1:11" x14ac:dyDescent="0.25">
      <c r="A26" t="s">
        <v>123</v>
      </c>
    </row>
    <row r="27" spans="1:11" x14ac:dyDescent="0.25">
      <c r="A27" s="8"/>
      <c r="B27" s="18">
        <v>1</v>
      </c>
      <c r="C27" s="18">
        <v>2</v>
      </c>
      <c r="D27" s="18">
        <v>3</v>
      </c>
      <c r="E27" s="18">
        <v>4</v>
      </c>
      <c r="F27" s="18">
        <v>5</v>
      </c>
      <c r="G27" s="18">
        <v>6</v>
      </c>
      <c r="H27" s="18">
        <v>7</v>
      </c>
      <c r="I27" s="18">
        <v>8</v>
      </c>
      <c r="J27" s="18">
        <v>9</v>
      </c>
      <c r="K27" s="18">
        <v>10</v>
      </c>
    </row>
    <row r="28" spans="1:11" x14ac:dyDescent="0.25">
      <c r="A28" s="19">
        <v>1</v>
      </c>
      <c r="B28" s="8">
        <f>$A28*B$27</f>
        <v>1</v>
      </c>
      <c r="C28" s="8">
        <f t="shared" ref="C28:K28" si="2">$A28*C$27</f>
        <v>2</v>
      </c>
      <c r="D28" s="8">
        <f t="shared" si="2"/>
        <v>3</v>
      </c>
      <c r="E28" s="8">
        <f t="shared" si="2"/>
        <v>4</v>
      </c>
      <c r="F28" s="8">
        <f t="shared" si="2"/>
        <v>5</v>
      </c>
      <c r="G28" s="8">
        <f t="shared" si="2"/>
        <v>6</v>
      </c>
      <c r="H28" s="8">
        <f t="shared" si="2"/>
        <v>7</v>
      </c>
      <c r="I28" s="8">
        <f t="shared" si="2"/>
        <v>8</v>
      </c>
      <c r="J28" s="8">
        <f t="shared" si="2"/>
        <v>9</v>
      </c>
      <c r="K28" s="8">
        <f t="shared" si="2"/>
        <v>10</v>
      </c>
    </row>
    <row r="29" spans="1:11" x14ac:dyDescent="0.25">
      <c r="A29" s="19">
        <v>2</v>
      </c>
      <c r="B29" s="8">
        <f t="shared" ref="B29:K37" si="3">$A29*B$27</f>
        <v>2</v>
      </c>
      <c r="C29" s="8">
        <f t="shared" si="3"/>
        <v>4</v>
      </c>
      <c r="D29" s="8">
        <f t="shared" si="3"/>
        <v>6</v>
      </c>
      <c r="E29" s="8">
        <f t="shared" si="3"/>
        <v>8</v>
      </c>
      <c r="F29" s="8">
        <f t="shared" si="3"/>
        <v>10</v>
      </c>
      <c r="G29" s="8">
        <f t="shared" si="3"/>
        <v>12</v>
      </c>
      <c r="H29" s="8">
        <f t="shared" si="3"/>
        <v>14</v>
      </c>
      <c r="I29" s="8">
        <f t="shared" si="3"/>
        <v>16</v>
      </c>
      <c r="J29" s="8">
        <f t="shared" si="3"/>
        <v>18</v>
      </c>
      <c r="K29" s="8">
        <f t="shared" si="3"/>
        <v>20</v>
      </c>
    </row>
    <row r="30" spans="1:11" x14ac:dyDescent="0.25">
      <c r="A30" s="19">
        <v>3</v>
      </c>
      <c r="B30" s="8">
        <f t="shared" si="3"/>
        <v>3</v>
      </c>
      <c r="C30" s="8">
        <f t="shared" si="3"/>
        <v>6</v>
      </c>
      <c r="D30" s="8">
        <f t="shared" si="3"/>
        <v>9</v>
      </c>
      <c r="E30" s="8">
        <f t="shared" si="3"/>
        <v>12</v>
      </c>
      <c r="F30" s="8">
        <f t="shared" si="3"/>
        <v>15</v>
      </c>
      <c r="G30" s="8">
        <f t="shared" si="3"/>
        <v>18</v>
      </c>
      <c r="H30" s="8">
        <f t="shared" si="3"/>
        <v>21</v>
      </c>
      <c r="I30" s="8">
        <f>$A30*I$27</f>
        <v>24</v>
      </c>
      <c r="J30" s="8">
        <f t="shared" si="3"/>
        <v>27</v>
      </c>
      <c r="K30" s="8">
        <f t="shared" si="3"/>
        <v>30</v>
      </c>
    </row>
    <row r="31" spans="1:11" x14ac:dyDescent="0.25">
      <c r="A31" s="19">
        <v>4</v>
      </c>
      <c r="B31" s="8">
        <f t="shared" si="3"/>
        <v>4</v>
      </c>
      <c r="C31" s="8">
        <f t="shared" si="3"/>
        <v>8</v>
      </c>
      <c r="D31" s="8">
        <f t="shared" si="3"/>
        <v>12</v>
      </c>
      <c r="E31" s="8">
        <f t="shared" si="3"/>
        <v>16</v>
      </c>
      <c r="F31" s="8">
        <f t="shared" si="3"/>
        <v>20</v>
      </c>
      <c r="G31" s="8">
        <f t="shared" si="3"/>
        <v>24</v>
      </c>
      <c r="H31" s="8">
        <f t="shared" si="3"/>
        <v>28</v>
      </c>
      <c r="I31" s="8">
        <f t="shared" si="3"/>
        <v>32</v>
      </c>
      <c r="J31" s="8">
        <f t="shared" si="3"/>
        <v>36</v>
      </c>
      <c r="K31" s="8">
        <f t="shared" si="3"/>
        <v>40</v>
      </c>
    </row>
    <row r="32" spans="1:11" x14ac:dyDescent="0.25">
      <c r="A32" s="19">
        <v>5</v>
      </c>
      <c r="B32" s="8">
        <f t="shared" si="3"/>
        <v>5</v>
      </c>
      <c r="C32" s="8">
        <f t="shared" si="3"/>
        <v>10</v>
      </c>
      <c r="D32" s="8">
        <f t="shared" si="3"/>
        <v>15</v>
      </c>
      <c r="E32" s="8">
        <f t="shared" si="3"/>
        <v>20</v>
      </c>
      <c r="F32" s="8">
        <f t="shared" si="3"/>
        <v>25</v>
      </c>
      <c r="G32" s="8">
        <f t="shared" si="3"/>
        <v>30</v>
      </c>
      <c r="H32" s="8">
        <f t="shared" si="3"/>
        <v>35</v>
      </c>
      <c r="I32" s="8">
        <f t="shared" si="3"/>
        <v>40</v>
      </c>
      <c r="J32" s="8">
        <f t="shared" si="3"/>
        <v>45</v>
      </c>
      <c r="K32" s="8">
        <f t="shared" si="3"/>
        <v>50</v>
      </c>
    </row>
    <row r="33" spans="1:11" x14ac:dyDescent="0.25">
      <c r="A33" s="19">
        <v>6</v>
      </c>
      <c r="B33" s="8">
        <f t="shared" si="3"/>
        <v>6</v>
      </c>
      <c r="C33" s="8">
        <f t="shared" si="3"/>
        <v>12</v>
      </c>
      <c r="D33" s="8">
        <f t="shared" si="3"/>
        <v>18</v>
      </c>
      <c r="E33" s="8">
        <f t="shared" si="3"/>
        <v>24</v>
      </c>
      <c r="F33" s="8">
        <f t="shared" si="3"/>
        <v>30</v>
      </c>
      <c r="G33" s="8">
        <f t="shared" si="3"/>
        <v>36</v>
      </c>
      <c r="H33" s="8">
        <f t="shared" si="3"/>
        <v>42</v>
      </c>
      <c r="I33" s="8">
        <f t="shared" si="3"/>
        <v>48</v>
      </c>
      <c r="J33" s="8">
        <f t="shared" si="3"/>
        <v>54</v>
      </c>
      <c r="K33" s="8">
        <f t="shared" si="3"/>
        <v>60</v>
      </c>
    </row>
    <row r="34" spans="1:11" x14ac:dyDescent="0.25">
      <c r="A34" s="19">
        <v>7</v>
      </c>
      <c r="B34" s="8">
        <f t="shared" si="3"/>
        <v>7</v>
      </c>
      <c r="C34" s="8">
        <f t="shared" si="3"/>
        <v>14</v>
      </c>
      <c r="D34" s="8">
        <f t="shared" si="3"/>
        <v>21</v>
      </c>
      <c r="E34" s="8">
        <f t="shared" si="3"/>
        <v>28</v>
      </c>
      <c r="F34" s="8">
        <f t="shared" si="3"/>
        <v>35</v>
      </c>
      <c r="G34" s="8">
        <f t="shared" si="3"/>
        <v>42</v>
      </c>
      <c r="H34" s="8">
        <f t="shared" si="3"/>
        <v>49</v>
      </c>
      <c r="I34" s="8">
        <f t="shared" si="3"/>
        <v>56</v>
      </c>
      <c r="J34" s="8">
        <f t="shared" si="3"/>
        <v>63</v>
      </c>
      <c r="K34" s="8">
        <f t="shared" si="3"/>
        <v>70</v>
      </c>
    </row>
    <row r="35" spans="1:11" x14ac:dyDescent="0.25">
      <c r="A35" s="19">
        <v>8</v>
      </c>
      <c r="B35" s="8">
        <f t="shared" si="3"/>
        <v>8</v>
      </c>
      <c r="C35" s="8">
        <f t="shared" si="3"/>
        <v>16</v>
      </c>
      <c r="D35" s="8">
        <f t="shared" si="3"/>
        <v>24</v>
      </c>
      <c r="E35" s="8">
        <f t="shared" si="3"/>
        <v>32</v>
      </c>
      <c r="F35" s="8">
        <f t="shared" si="3"/>
        <v>40</v>
      </c>
      <c r="G35" s="8">
        <f t="shared" si="3"/>
        <v>48</v>
      </c>
      <c r="H35" s="8">
        <f t="shared" si="3"/>
        <v>56</v>
      </c>
      <c r="I35" s="8">
        <f t="shared" si="3"/>
        <v>64</v>
      </c>
      <c r="J35" s="8">
        <f t="shared" si="3"/>
        <v>72</v>
      </c>
      <c r="K35" s="8">
        <f t="shared" si="3"/>
        <v>80</v>
      </c>
    </row>
    <row r="36" spans="1:11" x14ac:dyDescent="0.25">
      <c r="A36" s="19">
        <v>9</v>
      </c>
      <c r="B36" s="8">
        <f t="shared" si="3"/>
        <v>9</v>
      </c>
      <c r="C36" s="8">
        <f t="shared" si="3"/>
        <v>18</v>
      </c>
      <c r="D36" s="8">
        <f t="shared" si="3"/>
        <v>27</v>
      </c>
      <c r="E36" s="8">
        <f t="shared" si="3"/>
        <v>36</v>
      </c>
      <c r="F36" s="8">
        <f t="shared" si="3"/>
        <v>45</v>
      </c>
      <c r="G36" s="8">
        <f t="shared" si="3"/>
        <v>54</v>
      </c>
      <c r="H36" s="8">
        <f t="shared" si="3"/>
        <v>63</v>
      </c>
      <c r="I36" s="8">
        <f t="shared" si="3"/>
        <v>72</v>
      </c>
      <c r="J36" s="8">
        <f t="shared" si="3"/>
        <v>81</v>
      </c>
      <c r="K36" s="8">
        <f t="shared" si="3"/>
        <v>90</v>
      </c>
    </row>
    <row r="37" spans="1:11" x14ac:dyDescent="0.25">
      <c r="A37" s="19">
        <v>10</v>
      </c>
      <c r="B37" s="8">
        <f t="shared" si="3"/>
        <v>10</v>
      </c>
      <c r="C37" s="8">
        <f t="shared" si="3"/>
        <v>20</v>
      </c>
      <c r="D37" s="8">
        <f t="shared" si="3"/>
        <v>30</v>
      </c>
      <c r="E37" s="8">
        <f t="shared" si="3"/>
        <v>40</v>
      </c>
      <c r="F37" s="8">
        <f t="shared" si="3"/>
        <v>50</v>
      </c>
      <c r="G37" s="8">
        <f t="shared" si="3"/>
        <v>60</v>
      </c>
      <c r="H37" s="8">
        <f t="shared" si="3"/>
        <v>70</v>
      </c>
      <c r="I37" s="8">
        <f t="shared" si="3"/>
        <v>80</v>
      </c>
      <c r="J37" s="8">
        <f t="shared" si="3"/>
        <v>90</v>
      </c>
      <c r="K37" s="8">
        <f t="shared" si="3"/>
        <v>100</v>
      </c>
    </row>
    <row r="39" spans="1:11" x14ac:dyDescent="0.25">
      <c r="A39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6" sqref="C6"/>
    </sheetView>
  </sheetViews>
  <sheetFormatPr baseColWidth="10" defaultRowHeight="15" x14ac:dyDescent="0.25"/>
  <cols>
    <col min="1" max="1" width="24.85546875" customWidth="1"/>
    <col min="2" max="2" width="13.42578125" customWidth="1"/>
    <col min="3" max="3" width="19.140625" customWidth="1"/>
  </cols>
  <sheetData>
    <row r="1" spans="1:3" x14ac:dyDescent="0.25">
      <c r="A1" t="s">
        <v>130</v>
      </c>
    </row>
    <row r="2" spans="1:3" x14ac:dyDescent="0.25">
      <c r="A2" t="s">
        <v>131</v>
      </c>
    </row>
    <row r="4" spans="1:3" x14ac:dyDescent="0.25">
      <c r="A4" s="8" t="s">
        <v>132</v>
      </c>
      <c r="B4" s="8" t="s">
        <v>69</v>
      </c>
      <c r="C4" s="8" t="s">
        <v>68</v>
      </c>
    </row>
    <row r="5" spans="1:3" x14ac:dyDescent="0.25">
      <c r="A5" s="8" t="s">
        <v>133</v>
      </c>
      <c r="B5" s="8" t="str">
        <f>LEFT(A5,SEARCH(" ",A5)-1)</f>
        <v>Toky</v>
      </c>
      <c r="C5" s="8" t="str">
        <f>RIGHT(A5,LEN(A5)-SEARCH(" ",A5))</f>
        <v>RAZAFY</v>
      </c>
    </row>
    <row r="6" spans="1:3" x14ac:dyDescent="0.25">
      <c r="A6" s="8" t="s">
        <v>134</v>
      </c>
      <c r="B6" s="8" t="str">
        <f t="shared" ref="B6:B8" si="0">LEFT(A6,SEARCH(" ",A6)-1)</f>
        <v>Stéphanie</v>
      </c>
      <c r="C6" s="8" t="str">
        <f>RIGHT(A6,LEN(A6)-SEARCH(" ",A6))</f>
        <v>RAKOTO</v>
      </c>
    </row>
    <row r="7" spans="1:3" x14ac:dyDescent="0.25">
      <c r="A7" s="8" t="s">
        <v>135</v>
      </c>
      <c r="B7" s="8" t="str">
        <f>LEFT(A7,SEARCH(" ",A7)-1)</f>
        <v>Sergio</v>
      </c>
      <c r="C7" s="8" t="str">
        <f t="shared" ref="C6:C8" si="1">RIGHT(A7,LEN(A7)-SEARCH(" ",A7))</f>
        <v>PARSON</v>
      </c>
    </row>
    <row r="8" spans="1:3" x14ac:dyDescent="0.25">
      <c r="A8" s="8" t="s">
        <v>136</v>
      </c>
      <c r="B8" s="8" t="str">
        <f>LEFT(A8,SEARCH(" ",A8)-1)</f>
        <v>Soa</v>
      </c>
      <c r="C8" s="8" t="str">
        <f t="shared" si="1"/>
        <v>RATSIMANDRAVA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A37" workbookViewId="0">
      <selection activeCell="H1" sqref="H1"/>
    </sheetView>
  </sheetViews>
  <sheetFormatPr baseColWidth="10" defaultRowHeight="15" x14ac:dyDescent="0.25"/>
  <cols>
    <col min="1" max="1" width="30.7109375" customWidth="1"/>
    <col min="2" max="2" width="20.85546875" customWidth="1"/>
    <col min="4" max="4" width="16" customWidth="1"/>
    <col min="5" max="5" width="20.140625" customWidth="1"/>
    <col min="6" max="6" width="13.140625" customWidth="1"/>
    <col min="7" max="7" width="25.7109375" customWidth="1"/>
    <col min="9" max="9" width="16.7109375" customWidth="1"/>
    <col min="10" max="10" width="20.42578125" customWidth="1"/>
    <col min="11" max="11" width="18.85546875" customWidth="1"/>
  </cols>
  <sheetData>
    <row r="1" spans="1:11" x14ac:dyDescent="0.25">
      <c r="A1" s="17" t="s">
        <v>137</v>
      </c>
      <c r="B1" s="17" t="s">
        <v>138</v>
      </c>
      <c r="C1" s="17" t="s">
        <v>43</v>
      </c>
      <c r="D1" s="17" t="s">
        <v>139</v>
      </c>
      <c r="E1" s="17" t="s">
        <v>140</v>
      </c>
      <c r="F1" s="17" t="s">
        <v>169</v>
      </c>
      <c r="G1" s="17" t="s">
        <v>179</v>
      </c>
      <c r="H1" s="17" t="s">
        <v>180</v>
      </c>
      <c r="I1" s="17" t="s">
        <v>181</v>
      </c>
      <c r="J1" s="17" t="s">
        <v>182</v>
      </c>
      <c r="K1" s="17" t="s">
        <v>183</v>
      </c>
    </row>
    <row r="2" spans="1:11" x14ac:dyDescent="0.25">
      <c r="A2" s="8" t="s">
        <v>141</v>
      </c>
      <c r="B2" s="8" t="s">
        <v>155</v>
      </c>
      <c r="C2" s="8">
        <v>7</v>
      </c>
      <c r="D2" s="10">
        <v>23000</v>
      </c>
      <c r="E2" s="8" t="s">
        <v>158</v>
      </c>
      <c r="F2" s="8">
        <f t="shared" ref="F2:F15" si="0">D2*C2</f>
        <v>161000</v>
      </c>
      <c r="G2" s="8" t="str">
        <f>IF(C2&lt;5,"à ameliorer", "Quantité validé")</f>
        <v>Quantité validé</v>
      </c>
      <c r="H2" s="8" t="str">
        <f>IF(F2&gt;=300000,"OUI","NON")</f>
        <v>NON</v>
      </c>
      <c r="I2" s="8" t="str">
        <f>IF(F2&gt;=300000,"12%","AUCUN")</f>
        <v>AUCUN</v>
      </c>
      <c r="J2" s="8" t="str">
        <f>IF(F2&gt;300000,"10%","AUCUN")</f>
        <v>AUCUN</v>
      </c>
      <c r="K2" s="8" t="str">
        <f>IF(F2&gt;500000,"15%","AUCUN")</f>
        <v>AUCUN</v>
      </c>
    </row>
    <row r="3" spans="1:11" x14ac:dyDescent="0.25">
      <c r="A3" s="8" t="s">
        <v>142</v>
      </c>
      <c r="B3" s="8" t="s">
        <v>155</v>
      </c>
      <c r="C3" s="8">
        <v>5</v>
      </c>
      <c r="D3" s="10">
        <v>23000</v>
      </c>
      <c r="E3" s="8" t="s">
        <v>159</v>
      </c>
      <c r="F3" s="8">
        <f t="shared" si="0"/>
        <v>115000</v>
      </c>
      <c r="G3" s="8" t="str">
        <f t="shared" ref="G3:G15" si="1">IF(C3&lt;5,"à ameliorer", "Quantité validé")</f>
        <v>Quantité validé</v>
      </c>
      <c r="H3" s="8" t="str">
        <f t="shared" ref="H3:H15" si="2">IF(F3&gt;=300000,"OUI","NON")</f>
        <v>NON</v>
      </c>
      <c r="I3" s="8" t="str">
        <f t="shared" ref="I3:I15" si="3">IF(F3&gt;=300000,"12%","AUCUN")</f>
        <v>AUCUN</v>
      </c>
      <c r="J3" s="8" t="str">
        <f t="shared" ref="J3:J15" si="4">IF(F3&gt;300000,"10%","AUCUN")</f>
        <v>AUCUN</v>
      </c>
      <c r="K3" s="8" t="str">
        <f t="shared" ref="K3:K15" si="5">IF(F3&gt;500000,"15%","AUCUN")</f>
        <v>AUCUN</v>
      </c>
    </row>
    <row r="4" spans="1:11" x14ac:dyDescent="0.25">
      <c r="A4" s="8" t="s">
        <v>143</v>
      </c>
      <c r="B4" s="8" t="s">
        <v>156</v>
      </c>
      <c r="C4" s="8">
        <v>25</v>
      </c>
      <c r="D4" s="10">
        <v>12000</v>
      </c>
      <c r="E4" s="8" t="s">
        <v>159</v>
      </c>
      <c r="F4" s="8">
        <f t="shared" si="0"/>
        <v>300000</v>
      </c>
      <c r="G4" s="8" t="str">
        <f t="shared" si="1"/>
        <v>Quantité validé</v>
      </c>
      <c r="H4" s="8" t="str">
        <f t="shared" si="2"/>
        <v>OUI</v>
      </c>
      <c r="I4" s="8" t="str">
        <f t="shared" si="3"/>
        <v>12%</v>
      </c>
      <c r="J4" s="8" t="str">
        <f t="shared" si="4"/>
        <v>AUCUN</v>
      </c>
      <c r="K4" s="8" t="str">
        <f t="shared" si="5"/>
        <v>AUCUN</v>
      </c>
    </row>
    <row r="5" spans="1:11" x14ac:dyDescent="0.25">
      <c r="A5" s="8" t="s">
        <v>144</v>
      </c>
      <c r="B5" s="8" t="s">
        <v>157</v>
      </c>
      <c r="C5" s="8">
        <v>10</v>
      </c>
      <c r="D5" s="10">
        <v>30000</v>
      </c>
      <c r="E5" s="8" t="s">
        <v>159</v>
      </c>
      <c r="F5" s="8">
        <f t="shared" si="0"/>
        <v>300000</v>
      </c>
      <c r="G5" s="8" t="str">
        <f t="shared" si="1"/>
        <v>Quantité validé</v>
      </c>
      <c r="H5" s="8" t="str">
        <f t="shared" si="2"/>
        <v>OUI</v>
      </c>
      <c r="I5" s="8" t="str">
        <f t="shared" si="3"/>
        <v>12%</v>
      </c>
      <c r="J5" s="8" t="str">
        <f t="shared" si="4"/>
        <v>AUCUN</v>
      </c>
      <c r="K5" s="8" t="str">
        <f t="shared" si="5"/>
        <v>AUCUN</v>
      </c>
    </row>
    <row r="6" spans="1:11" x14ac:dyDescent="0.25">
      <c r="A6" s="8" t="s">
        <v>145</v>
      </c>
      <c r="B6" s="8" t="s">
        <v>155</v>
      </c>
      <c r="C6" s="8">
        <v>12</v>
      </c>
      <c r="D6" s="10">
        <v>23000</v>
      </c>
      <c r="E6" s="8" t="s">
        <v>158</v>
      </c>
      <c r="F6" s="8">
        <f t="shared" si="0"/>
        <v>276000</v>
      </c>
      <c r="G6" s="8" t="str">
        <f t="shared" si="1"/>
        <v>Quantité validé</v>
      </c>
      <c r="H6" s="8" t="str">
        <f t="shared" si="2"/>
        <v>NON</v>
      </c>
      <c r="I6" s="8" t="str">
        <f t="shared" si="3"/>
        <v>AUCUN</v>
      </c>
      <c r="J6" s="8" t="str">
        <f t="shared" si="4"/>
        <v>AUCUN</v>
      </c>
      <c r="K6" s="8" t="str">
        <f t="shared" si="5"/>
        <v>AUCUN</v>
      </c>
    </row>
    <row r="7" spans="1:11" x14ac:dyDescent="0.25">
      <c r="A7" s="8" t="s">
        <v>146</v>
      </c>
      <c r="B7" s="8"/>
      <c r="C7" s="8">
        <v>2</v>
      </c>
      <c r="D7" s="10">
        <v>35000</v>
      </c>
      <c r="E7" s="8" t="s">
        <v>158</v>
      </c>
      <c r="F7" s="8">
        <f t="shared" si="0"/>
        <v>70000</v>
      </c>
      <c r="G7" s="8" t="str">
        <f t="shared" si="1"/>
        <v>à ameliorer</v>
      </c>
      <c r="H7" s="8" t="str">
        <f t="shared" si="2"/>
        <v>NON</v>
      </c>
      <c r="I7" s="8" t="str">
        <f t="shared" si="3"/>
        <v>AUCUN</v>
      </c>
      <c r="J7" s="8" t="str">
        <f t="shared" si="4"/>
        <v>AUCUN</v>
      </c>
      <c r="K7" s="8" t="str">
        <f t="shared" si="5"/>
        <v>AUCUN</v>
      </c>
    </row>
    <row r="8" spans="1:11" x14ac:dyDescent="0.25">
      <c r="A8" s="8" t="s">
        <v>147</v>
      </c>
      <c r="B8" s="8" t="s">
        <v>155</v>
      </c>
      <c r="C8" s="8">
        <v>20</v>
      </c>
      <c r="D8" s="10">
        <v>23000</v>
      </c>
      <c r="E8" s="8" t="s">
        <v>159</v>
      </c>
      <c r="F8" s="8">
        <f t="shared" si="0"/>
        <v>460000</v>
      </c>
      <c r="G8" s="8" t="str">
        <f t="shared" si="1"/>
        <v>Quantité validé</v>
      </c>
      <c r="H8" s="8" t="str">
        <f t="shared" si="2"/>
        <v>OUI</v>
      </c>
      <c r="I8" s="8" t="str">
        <f t="shared" si="3"/>
        <v>12%</v>
      </c>
      <c r="J8" s="8" t="str">
        <f t="shared" si="4"/>
        <v>10%</v>
      </c>
      <c r="K8" s="8" t="str">
        <f t="shared" si="5"/>
        <v>AUCUN</v>
      </c>
    </row>
    <row r="9" spans="1:11" x14ac:dyDescent="0.25">
      <c r="A9" s="8" t="s">
        <v>148</v>
      </c>
      <c r="B9" s="8" t="s">
        <v>155</v>
      </c>
      <c r="C9" s="8">
        <v>9</v>
      </c>
      <c r="D9" s="10">
        <v>23000</v>
      </c>
      <c r="E9" s="8" t="s">
        <v>159</v>
      </c>
      <c r="F9" s="8">
        <f t="shared" si="0"/>
        <v>207000</v>
      </c>
      <c r="G9" s="8" t="str">
        <f t="shared" si="1"/>
        <v>Quantité validé</v>
      </c>
      <c r="H9" s="8" t="str">
        <f t="shared" si="2"/>
        <v>NON</v>
      </c>
      <c r="I9" s="8" t="str">
        <f t="shared" si="3"/>
        <v>AUCUN</v>
      </c>
      <c r="J9" s="8" t="str">
        <f t="shared" si="4"/>
        <v>AUCUN</v>
      </c>
      <c r="K9" s="8" t="str">
        <f t="shared" si="5"/>
        <v>AUCUN</v>
      </c>
    </row>
    <row r="10" spans="1:11" x14ac:dyDescent="0.25">
      <c r="A10" s="8" t="s">
        <v>149</v>
      </c>
      <c r="B10" s="8" t="s">
        <v>156</v>
      </c>
      <c r="C10" s="8">
        <v>3</v>
      </c>
      <c r="D10" s="10">
        <v>12000</v>
      </c>
      <c r="E10" s="8" t="s">
        <v>158</v>
      </c>
      <c r="F10" s="8">
        <f t="shared" si="0"/>
        <v>36000</v>
      </c>
      <c r="G10" s="8" t="str">
        <f t="shared" si="1"/>
        <v>à ameliorer</v>
      </c>
      <c r="H10" s="8" t="str">
        <f t="shared" si="2"/>
        <v>NON</v>
      </c>
      <c r="I10" s="8" t="str">
        <f t="shared" si="3"/>
        <v>AUCUN</v>
      </c>
      <c r="J10" s="8" t="str">
        <f t="shared" si="4"/>
        <v>AUCUN</v>
      </c>
      <c r="K10" s="8" t="str">
        <f t="shared" si="5"/>
        <v>AUCUN</v>
      </c>
    </row>
    <row r="11" spans="1:11" x14ac:dyDescent="0.25">
      <c r="A11" s="8" t="s">
        <v>150</v>
      </c>
      <c r="B11" s="8" t="s">
        <v>155</v>
      </c>
      <c r="C11" s="8">
        <v>20</v>
      </c>
      <c r="D11" s="10">
        <v>23000</v>
      </c>
      <c r="E11" s="8" t="s">
        <v>158</v>
      </c>
      <c r="F11" s="8">
        <f t="shared" si="0"/>
        <v>460000</v>
      </c>
      <c r="G11" s="8" t="str">
        <f t="shared" si="1"/>
        <v>Quantité validé</v>
      </c>
      <c r="H11" s="8" t="str">
        <f t="shared" si="2"/>
        <v>OUI</v>
      </c>
      <c r="I11" s="8" t="str">
        <f t="shared" si="3"/>
        <v>12%</v>
      </c>
      <c r="J11" s="8" t="str">
        <f t="shared" si="4"/>
        <v>10%</v>
      </c>
      <c r="K11" s="8" t="str">
        <f t="shared" si="5"/>
        <v>AUCUN</v>
      </c>
    </row>
    <row r="12" spans="1:11" x14ac:dyDescent="0.25">
      <c r="A12" s="8" t="s">
        <v>151</v>
      </c>
      <c r="B12" s="8" t="s">
        <v>156</v>
      </c>
      <c r="C12" s="8">
        <v>16</v>
      </c>
      <c r="D12" s="10">
        <v>12000</v>
      </c>
      <c r="E12" s="8" t="s">
        <v>158</v>
      </c>
      <c r="F12" s="8">
        <f t="shared" si="0"/>
        <v>192000</v>
      </c>
      <c r="G12" s="8" t="str">
        <f t="shared" si="1"/>
        <v>Quantité validé</v>
      </c>
      <c r="H12" s="8" t="str">
        <f t="shared" si="2"/>
        <v>NON</v>
      </c>
      <c r="I12" s="8" t="str">
        <f t="shared" si="3"/>
        <v>AUCUN</v>
      </c>
      <c r="J12" s="8" t="str">
        <f t="shared" si="4"/>
        <v>AUCUN</v>
      </c>
      <c r="K12" s="8" t="str">
        <f t="shared" si="5"/>
        <v>AUCUN</v>
      </c>
    </row>
    <row r="13" spans="1:11" x14ac:dyDescent="0.25">
      <c r="A13" s="8" t="s">
        <v>152</v>
      </c>
      <c r="B13" s="8"/>
      <c r="C13" s="8">
        <v>18</v>
      </c>
      <c r="D13" s="10">
        <v>32000</v>
      </c>
      <c r="E13" s="8" t="s">
        <v>159</v>
      </c>
      <c r="F13" s="8">
        <f t="shared" si="0"/>
        <v>576000</v>
      </c>
      <c r="G13" s="8" t="str">
        <f t="shared" si="1"/>
        <v>Quantité validé</v>
      </c>
      <c r="H13" s="8" t="str">
        <f t="shared" si="2"/>
        <v>OUI</v>
      </c>
      <c r="I13" s="8" t="str">
        <f t="shared" si="3"/>
        <v>12%</v>
      </c>
      <c r="J13" s="8" t="str">
        <f t="shared" si="4"/>
        <v>10%</v>
      </c>
      <c r="K13" s="8" t="str">
        <f t="shared" si="5"/>
        <v>15%</v>
      </c>
    </row>
    <row r="14" spans="1:11" x14ac:dyDescent="0.25">
      <c r="A14" s="8" t="s">
        <v>153</v>
      </c>
      <c r="B14" s="8" t="s">
        <v>157</v>
      </c>
      <c r="C14" s="8">
        <v>1</v>
      </c>
      <c r="D14" s="10">
        <v>30000</v>
      </c>
      <c r="E14" s="8" t="s">
        <v>159</v>
      </c>
      <c r="F14" s="8">
        <f t="shared" si="0"/>
        <v>30000</v>
      </c>
      <c r="G14" s="8" t="str">
        <f t="shared" si="1"/>
        <v>à ameliorer</v>
      </c>
      <c r="H14" s="8" t="str">
        <f t="shared" si="2"/>
        <v>NON</v>
      </c>
      <c r="I14" s="8" t="str">
        <f t="shared" si="3"/>
        <v>AUCUN</v>
      </c>
      <c r="J14" s="8" t="str">
        <f t="shared" si="4"/>
        <v>AUCUN</v>
      </c>
      <c r="K14" s="8" t="str">
        <f t="shared" si="5"/>
        <v>AUCUN</v>
      </c>
    </row>
    <row r="15" spans="1:11" x14ac:dyDescent="0.25">
      <c r="A15" s="8" t="s">
        <v>154</v>
      </c>
      <c r="B15" s="8" t="s">
        <v>155</v>
      </c>
      <c r="C15" s="8">
        <v>14</v>
      </c>
      <c r="D15" s="10">
        <v>23000</v>
      </c>
      <c r="E15" s="8" t="s">
        <v>158</v>
      </c>
      <c r="F15" s="8">
        <f t="shared" si="0"/>
        <v>322000</v>
      </c>
      <c r="G15" s="8" t="str">
        <f t="shared" si="1"/>
        <v>Quantité validé</v>
      </c>
      <c r="H15" s="8" t="str">
        <f t="shared" si="2"/>
        <v>OUI</v>
      </c>
      <c r="I15" s="8" t="str">
        <f t="shared" si="3"/>
        <v>12%</v>
      </c>
      <c r="J15" s="8" t="str">
        <f t="shared" si="4"/>
        <v>10%</v>
      </c>
      <c r="K15" s="8" t="str">
        <f t="shared" si="5"/>
        <v>AUCUN</v>
      </c>
    </row>
    <row r="16" spans="1:11" x14ac:dyDescent="0.25">
      <c r="C16" s="8">
        <f>SUM(C2:C15)</f>
        <v>162</v>
      </c>
    </row>
    <row r="19" spans="1:6" x14ac:dyDescent="0.25">
      <c r="A19" s="8" t="s">
        <v>171</v>
      </c>
      <c r="B19" s="8">
        <f>SUM(C2:C15)</f>
        <v>162</v>
      </c>
      <c r="C19" s="8"/>
      <c r="F19">
        <f>SUM(F8,F11,F13,F15)</f>
        <v>1818000</v>
      </c>
    </row>
    <row r="20" spans="1:6" x14ac:dyDescent="0.25">
      <c r="A20" s="8" t="s">
        <v>170</v>
      </c>
      <c r="B20" s="8">
        <f>AVERAGE(F2:F15)</f>
        <v>250357.14285714287</v>
      </c>
      <c r="C20" s="8"/>
    </row>
    <row r="21" spans="1:6" x14ac:dyDescent="0.25">
      <c r="A21" s="8" t="s">
        <v>172</v>
      </c>
      <c r="B21" s="8">
        <f>COUNTBLANK(A2:E15)</f>
        <v>2</v>
      </c>
      <c r="C21" s="8"/>
    </row>
    <row r="22" spans="1:6" x14ac:dyDescent="0.25">
      <c r="A22" s="8" t="s">
        <v>173</v>
      </c>
      <c r="B22" s="8">
        <f>COUNTA(A2:E15)</f>
        <v>68</v>
      </c>
      <c r="C22" s="8"/>
    </row>
    <row r="23" spans="1:6" x14ac:dyDescent="0.25">
      <c r="A23" s="8" t="s">
        <v>174</v>
      </c>
      <c r="B23" s="8" t="str">
        <f>LEFT(E2)&amp;".VENTE"</f>
        <v>A.VENTE</v>
      </c>
      <c r="C23" s="8" t="str">
        <f>LEFT(E3)&amp;".VENTE"</f>
        <v>T.VENTE</v>
      </c>
    </row>
    <row r="24" spans="1:6" x14ac:dyDescent="0.25">
      <c r="A24" s="8" t="s">
        <v>175</v>
      </c>
      <c r="B24" s="8">
        <f>MAX(F2:F15)</f>
        <v>576000</v>
      </c>
      <c r="C24" s="8"/>
    </row>
    <row r="25" spans="1:6" x14ac:dyDescent="0.25">
      <c r="A25" s="8" t="s">
        <v>176</v>
      </c>
      <c r="B25" s="8">
        <f>MIN(F2:F15)</f>
        <v>30000</v>
      </c>
      <c r="C25" s="8"/>
    </row>
    <row r="26" spans="1:6" x14ac:dyDescent="0.25">
      <c r="A26" s="8" t="s">
        <v>177</v>
      </c>
      <c r="B26" s="8">
        <f>LARGE(F2:F15,3)</f>
        <v>460000</v>
      </c>
      <c r="C26" s="8">
        <f>SMALL(F2:F15,3)</f>
        <v>70000</v>
      </c>
    </row>
    <row r="27" spans="1:6" x14ac:dyDescent="0.25">
      <c r="A27" s="8" t="s">
        <v>178</v>
      </c>
      <c r="B27" s="8"/>
      <c r="C27" s="8"/>
    </row>
    <row r="28" spans="1:6" x14ac:dyDescent="0.25">
      <c r="A28" s="8"/>
      <c r="B28" s="8"/>
      <c r="C28" s="8"/>
    </row>
    <row r="29" spans="1:6" x14ac:dyDescent="0.25">
      <c r="A29" s="8"/>
      <c r="B29" s="8"/>
      <c r="C29" s="8"/>
    </row>
    <row r="30" spans="1:6" x14ac:dyDescent="0.25">
      <c r="A30" s="8"/>
      <c r="B30" s="8"/>
      <c r="C30" s="8"/>
    </row>
    <row r="31" spans="1:6" x14ac:dyDescent="0.25">
      <c r="A31" s="8"/>
      <c r="B31" s="8"/>
      <c r="C31" s="8"/>
    </row>
    <row r="43" spans="1:1" x14ac:dyDescent="0.25">
      <c r="A43" t="s">
        <v>160</v>
      </c>
    </row>
    <row r="44" spans="1:1" x14ac:dyDescent="0.25">
      <c r="A44" t="s">
        <v>161</v>
      </c>
    </row>
    <row r="45" spans="1:1" x14ac:dyDescent="0.25">
      <c r="A45" t="s">
        <v>162</v>
      </c>
    </row>
    <row r="46" spans="1:1" x14ac:dyDescent="0.25">
      <c r="A46" t="s">
        <v>163</v>
      </c>
    </row>
    <row r="47" spans="1:1" x14ac:dyDescent="0.25">
      <c r="A47" t="s">
        <v>164</v>
      </c>
    </row>
    <row r="48" spans="1:1" x14ac:dyDescent="0.25">
      <c r="A48" t="s">
        <v>165</v>
      </c>
    </row>
    <row r="49" spans="1:1" x14ac:dyDescent="0.25">
      <c r="A49" t="s">
        <v>166</v>
      </c>
    </row>
    <row r="50" spans="1:1" x14ac:dyDescent="0.25">
      <c r="A50" t="s">
        <v>167</v>
      </c>
    </row>
    <row r="51" spans="1:1" x14ac:dyDescent="0.25">
      <c r="A5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excel</vt:lpstr>
      <vt:lpstr>Fonction</vt:lpstr>
      <vt:lpstr>Référence</vt:lpstr>
      <vt:lpstr>Exercice01</vt:lpstr>
      <vt:lpstr>Exercice02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2026-06-04T06:05:11Z</dcterms:created>
  <dcterms:modified xsi:type="dcterms:W3CDTF">2026-06-10T03:50:10Z</dcterms:modified>
</cp:coreProperties>
</file>